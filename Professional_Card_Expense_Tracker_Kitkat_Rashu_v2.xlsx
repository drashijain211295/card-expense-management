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Card Excel\"/>
    </mc:Choice>
  </mc:AlternateContent>
  <xr:revisionPtr revIDLastSave="0" documentId="13_ncr:1_{FFC86138-7B23-4F4B-BF38-E543263582D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ard Expense Tracker july" sheetId="1" r:id="rId1"/>
    <sheet name="Card Expense Tracker augu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9" i="1" l="1"/>
  <c r="O23" i="2"/>
  <c r="O21" i="2"/>
  <c r="O17" i="2"/>
  <c r="O14" i="2"/>
  <c r="O13" i="2"/>
  <c r="O12" i="2"/>
  <c r="O9" i="2"/>
  <c r="O8" i="2"/>
  <c r="O7" i="2"/>
  <c r="O6" i="2"/>
  <c r="O5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J38" i="2"/>
  <c r="K38" i="2"/>
  <c r="K4" i="2"/>
  <c r="K6" i="2"/>
  <c r="K7" i="2"/>
  <c r="K10" i="2"/>
  <c r="K12" i="2"/>
  <c r="K14" i="2"/>
  <c r="K15" i="2"/>
  <c r="K17" i="2"/>
  <c r="K22" i="2"/>
  <c r="K30" i="2"/>
  <c r="K32" i="2"/>
  <c r="K33" i="2"/>
  <c r="K34" i="2"/>
  <c r="K36" i="2"/>
  <c r="J8" i="2"/>
  <c r="J9" i="2"/>
  <c r="J11" i="2"/>
  <c r="J13" i="2"/>
  <c r="J16" i="2"/>
  <c r="J18" i="2"/>
  <c r="J19" i="2"/>
  <c r="J20" i="2"/>
  <c r="J21" i="2"/>
  <c r="J23" i="2"/>
  <c r="J24" i="2"/>
  <c r="J25" i="2"/>
  <c r="J26" i="2"/>
  <c r="J27" i="2"/>
  <c r="J28" i="2"/>
  <c r="J29" i="2"/>
  <c r="J31" i="2"/>
  <c r="J35" i="2"/>
  <c r="J37" i="2"/>
  <c r="J4" i="2"/>
  <c r="J6" i="2"/>
  <c r="J7" i="2"/>
  <c r="K8" i="2"/>
  <c r="K9" i="2"/>
  <c r="J10" i="2"/>
  <c r="K11" i="2"/>
  <c r="J12" i="2"/>
  <c r="K13" i="2"/>
  <c r="J14" i="2"/>
  <c r="J15" i="2"/>
  <c r="K16" i="2"/>
  <c r="J17" i="2"/>
  <c r="K18" i="2"/>
  <c r="K19" i="2"/>
  <c r="K20" i="2"/>
  <c r="K21" i="2"/>
  <c r="J22" i="2"/>
  <c r="K23" i="2"/>
  <c r="K24" i="2"/>
  <c r="K25" i="2"/>
  <c r="K26" i="2"/>
  <c r="K27" i="2"/>
  <c r="K28" i="2"/>
  <c r="K29" i="2"/>
  <c r="J30" i="2"/>
  <c r="K31" i="2"/>
  <c r="J32" i="2"/>
  <c r="J33" i="2"/>
  <c r="J34" i="2"/>
  <c r="K35" i="2"/>
  <c r="J36" i="2"/>
  <c r="K37" i="2"/>
  <c r="I3" i="2"/>
  <c r="K18" i="1"/>
  <c r="K17" i="1"/>
  <c r="O14" i="1" s="1"/>
  <c r="I17" i="1"/>
  <c r="J17" i="1" s="1"/>
  <c r="O13" i="1" s="1"/>
  <c r="J16" i="1"/>
  <c r="I16" i="1"/>
  <c r="K16" i="1" s="1"/>
  <c r="J15" i="1"/>
  <c r="I15" i="1"/>
  <c r="K15" i="1" s="1"/>
  <c r="K14" i="1"/>
  <c r="I14" i="1"/>
  <c r="J14" i="1" s="1"/>
  <c r="K13" i="1"/>
  <c r="I13" i="1"/>
  <c r="J13" i="1" s="1"/>
  <c r="J12" i="1"/>
  <c r="I12" i="1"/>
  <c r="K12" i="1" s="1"/>
  <c r="K11" i="1"/>
  <c r="J11" i="1"/>
  <c r="I11" i="1"/>
  <c r="K10" i="1"/>
  <c r="I10" i="1"/>
  <c r="J10" i="1" s="1"/>
  <c r="K9" i="1"/>
  <c r="J9" i="1"/>
  <c r="I9" i="1"/>
  <c r="K8" i="1"/>
  <c r="I8" i="1"/>
  <c r="J8" i="1" s="1"/>
  <c r="O7" i="1"/>
  <c r="K7" i="1"/>
  <c r="J7" i="1"/>
  <c r="I7" i="1"/>
  <c r="O6" i="1"/>
  <c r="K6" i="1"/>
  <c r="J6" i="1"/>
  <c r="I6" i="1"/>
  <c r="O5" i="1"/>
  <c r="K5" i="1"/>
  <c r="I5" i="1"/>
  <c r="J5" i="1" s="1"/>
  <c r="K4" i="1"/>
  <c r="I4" i="1"/>
  <c r="J4" i="1" s="1"/>
  <c r="K3" i="1"/>
  <c r="O9" i="1" s="1"/>
  <c r="O21" i="1" s="1"/>
  <c r="O23" i="1" s="1"/>
  <c r="J3" i="1"/>
  <c r="O8" i="1" s="1"/>
  <c r="O17" i="1" s="1"/>
  <c r="I3" i="1"/>
  <c r="K5" i="2" l="1"/>
  <c r="J5" i="2"/>
  <c r="O4" i="2"/>
  <c r="J3" i="2"/>
  <c r="K3" i="2"/>
  <c r="O4" i="1"/>
  <c r="O12" i="1"/>
  <c r="O19" i="2" l="1"/>
</calcChain>
</file>

<file path=xl/sharedStrings.xml><?xml version="1.0" encoding="utf-8"?>
<sst xmlns="http://schemas.openxmlformats.org/spreadsheetml/2006/main" count="264" uniqueCount="89">
  <si>
    <t>💳 Shared Credit Card Expense Tracker</t>
  </si>
  <si>
    <t>Dashboard</t>
  </si>
  <si>
    <t>Date</t>
  </si>
  <si>
    <t>Description</t>
  </si>
  <si>
    <t>Slip Amount</t>
  </si>
  <si>
    <t>Statement Amount</t>
  </si>
  <si>
    <t>Fuel Waiver</t>
  </si>
  <si>
    <t>Refund Amount</t>
  </si>
  <si>
    <t>Used By</t>
  </si>
  <si>
    <t>Payment Type</t>
  </si>
  <si>
    <t>Effective Amount</t>
  </si>
  <si>
    <t>Kitkat Share</t>
  </si>
  <si>
    <t>Rashu Share</t>
  </si>
  <si>
    <t>Remarks</t>
  </si>
  <si>
    <t>07 Jul 26</t>
  </si>
  <si>
    <t>Car - petrol</t>
  </si>
  <si>
    <t>Kitkat</t>
  </si>
  <si>
    <t>Card</t>
  </si>
  <si>
    <t>💳 Card Expenses</t>
  </si>
  <si>
    <t>09 Jul 26</t>
  </si>
  <si>
    <t>ASSPL</t>
  </si>
  <si>
    <t>Both</t>
  </si>
  <si>
    <t>Total Effective Spend</t>
  </si>
  <si>
    <t>Gift waha mummy</t>
  </si>
  <si>
    <t>Card Statement Total</t>
  </si>
  <si>
    <t>KANTA SHRAWAN MISROD</t>
  </si>
  <si>
    <t>Rashu</t>
  </si>
  <si>
    <t>10 Jul 26</t>
  </si>
  <si>
    <t>AGARWAL AUTOMOTIVE PR4</t>
  </si>
  <si>
    <t>Refund</t>
  </si>
  <si>
    <t>Kitkat Card Share</t>
  </si>
  <si>
    <t>13 Jul 26</t>
  </si>
  <si>
    <t>RAJA FUELS</t>
  </si>
  <si>
    <t>Rashu Card Share</t>
  </si>
  <si>
    <t>15 Jul 26</t>
  </si>
  <si>
    <t>17 Jul 26</t>
  </si>
  <si>
    <t>SHASHIKRISHAN FILLING</t>
  </si>
  <si>
    <t>💳 Non-Card Expenses</t>
  </si>
  <si>
    <t>18 Jul 26</t>
  </si>
  <si>
    <t>Total Non-Card Spend</t>
  </si>
  <si>
    <t>19 Jul 26</t>
  </si>
  <si>
    <t>NIRMAL FILLING STATION</t>
  </si>
  <si>
    <t>Kitkat Non-Card Share</t>
  </si>
  <si>
    <t>23 Jul 26</t>
  </si>
  <si>
    <t>Rashu Non-Card Share</t>
  </si>
  <si>
    <t>Annual Fee + GST</t>
  </si>
  <si>
    <t>💳 Final Settlement &amp; Payments</t>
  </si>
  <si>
    <t>Mummy Gift</t>
  </si>
  <si>
    <t>Non-card</t>
  </si>
  <si>
    <t>Kitkat Expense Share</t>
  </si>
  <si>
    <t>Kitkat Payment / Share Given</t>
  </si>
  <si>
    <t>Kitkat Next Month Balance</t>
  </si>
  <si>
    <t>Rashu Expense Share</t>
  </si>
  <si>
    <t>Rashu Payment / Share Given</t>
  </si>
  <si>
    <t>Rashu Next Month Balance</t>
  </si>
  <si>
    <t>03 Aug 26</t>
  </si>
  <si>
    <t>SMART CITY FUELS PR468</t>
  </si>
  <si>
    <t>02 Aug 26</t>
  </si>
  <si>
    <t>MANOJ SHUKLA</t>
  </si>
  <si>
    <t>01 Aug 26</t>
  </si>
  <si>
    <t>30 Jul 26</t>
  </si>
  <si>
    <t>UPI-U K T 1 Enterprises</t>
  </si>
  <si>
    <t>29 Jul 26</t>
  </si>
  <si>
    <t>28 Jul 26</t>
  </si>
  <si>
    <t>UPI-KOUSHAL SINGH</t>
  </si>
  <si>
    <t>08 Aug 26</t>
  </si>
  <si>
    <t>UPI-New rajhans rubber p work u</t>
  </si>
  <si>
    <t>UPI-DEEPAK KUMAR RATH</t>
  </si>
  <si>
    <t>UPI-NASIR MANSURI</t>
  </si>
  <si>
    <t>UPI-PRAKASH MOBILE</t>
  </si>
  <si>
    <t>UPI-Sunil Hashwani</t>
  </si>
  <si>
    <t>UPI-DELHI CHOLE BHATURE</t>
  </si>
  <si>
    <t>Indian Railway Caterin</t>
  </si>
  <si>
    <t>UPI-NIRMAL FILLING STAT</t>
  </si>
  <si>
    <t>07 Aug 26</t>
  </si>
  <si>
    <t>06 Aug 26</t>
  </si>
  <si>
    <t>22 Aug 26</t>
  </si>
  <si>
    <t>21 Aug 26</t>
  </si>
  <si>
    <t>19 Aug 26</t>
  </si>
  <si>
    <t>18 Aug 26</t>
  </si>
  <si>
    <t>SUDHIR SHARMA</t>
  </si>
  <si>
    <t>17 Aug 26</t>
  </si>
  <si>
    <t>14 Aug 26</t>
  </si>
  <si>
    <t>Myjio</t>
  </si>
  <si>
    <t>13 Aug 26</t>
  </si>
  <si>
    <t>12 Aug 26</t>
  </si>
  <si>
    <t>10 Aug 26</t>
  </si>
  <si>
    <t>UPI-BATA</t>
  </si>
  <si>
    <t>Rashu got cash from mosiji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</si>
</sst>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name val="Calibri"/>
    </font>
    <font>
      <b/>
      <sz val="11"/>
      <name val="Calibri"/>
    </font>
    <font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/>
    </xf>
    <xf numFmtId="15" fontId="0" fillId="0" borderId="0" xfId="0" applyNumberFormat="1"/>
    <xf numFmtId="0" fontId="0" fillId="0" borderId="0" xfId="0" applyAlignment="1">
      <alignment vertical="center" wrapText="1"/>
    </xf>
    <xf numFmtId="0" fontId="1" fillId="2" borderId="2" xfId="0" applyFont="1" applyFill="1" applyBorder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2" fontId="4" fillId="0" borderId="0" xfId="0" applyNumberFormat="1" applyFont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4" fontId="0" fillId="0" borderId="3" xfId="0" applyNumberFormat="1" applyBorder="1"/>
    <xf numFmtId="0" fontId="0" fillId="0" borderId="3" xfId="0" applyBorder="1"/>
    <xf numFmtId="0" fontId="0" fillId="0" borderId="3" xfId="0" applyBorder="1" applyAlignment="1">
      <alignment horizontal="center"/>
    </xf>
    <xf numFmtId="15" fontId="0" fillId="0" borderId="3" xfId="0" applyNumberFormat="1" applyBorder="1" applyAlignment="1">
      <alignment horizontal="center"/>
    </xf>
    <xf numFmtId="0" fontId="0" fillId="0" borderId="0" xfId="0" applyFill="1" applyBorder="1"/>
    <xf numFmtId="4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23"/>
  <sheetViews>
    <sheetView topLeftCell="A2" workbookViewId="0">
      <selection activeCell="O19" sqref="O19"/>
    </sheetView>
  </sheetViews>
  <sheetFormatPr defaultRowHeight="14.4" x14ac:dyDescent="0.3"/>
  <cols>
    <col min="1" max="1" width="15.21875" customWidth="1"/>
    <col min="2" max="2" width="25.109375" bestFit="1" customWidth="1"/>
    <col min="3" max="3" width="11.33203125" bestFit="1" customWidth="1"/>
    <col min="4" max="4" width="17.33203125" bestFit="1" customWidth="1"/>
    <col min="8" max="8" width="11.5546875" customWidth="1"/>
    <col min="12" max="12" width="7.44140625" customWidth="1"/>
    <col min="14" max="14" width="28" customWidth="1"/>
    <col min="15" max="15" width="16" customWidth="1"/>
  </cols>
  <sheetData>
    <row r="1" spans="1:15" ht="21" customHeight="1" x14ac:dyDescent="0.4">
      <c r="A1" s="1" t="s">
        <v>0</v>
      </c>
      <c r="N1" s="7" t="s">
        <v>1</v>
      </c>
    </row>
    <row r="2" spans="1:15" x14ac:dyDescent="0.3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5" t="s">
        <v>9</v>
      </c>
      <c r="I2" s="2" t="s">
        <v>10</v>
      </c>
      <c r="J2" s="2" t="s">
        <v>11</v>
      </c>
      <c r="K2" s="2" t="s">
        <v>12</v>
      </c>
      <c r="L2" s="2" t="s">
        <v>13</v>
      </c>
    </row>
    <row r="3" spans="1:15" x14ac:dyDescent="0.3">
      <c r="A3" t="s">
        <v>14</v>
      </c>
      <c r="B3" t="s">
        <v>15</v>
      </c>
      <c r="C3">
        <v>1145.7</v>
      </c>
      <c r="D3">
        <v>1159.21</v>
      </c>
      <c r="E3">
        <v>11.45</v>
      </c>
      <c r="G3" t="s">
        <v>16</v>
      </c>
      <c r="H3" s="6" t="s">
        <v>17</v>
      </c>
      <c r="I3">
        <f t="shared" ref="I3:I17" si="0">IF(D3&gt;0,D3-F3-E3,IF(C3&gt;0,C3-F3-E3,0))</f>
        <v>1147.76</v>
      </c>
      <c r="J3">
        <f t="shared" ref="J3:J17" si="1">IF(G3="Kitkat",I3,IF(G3="Both",I3/2,0))</f>
        <v>1147.76</v>
      </c>
      <c r="K3">
        <f t="shared" ref="K3:K18" si="2">IF(G3="Rashu",I3,IF(G3="Both",I3/2,0))</f>
        <v>0</v>
      </c>
      <c r="N3" s="8" t="s">
        <v>18</v>
      </c>
    </row>
    <row r="4" spans="1:15" x14ac:dyDescent="0.3">
      <c r="A4" t="s">
        <v>19</v>
      </c>
      <c r="B4" t="s">
        <v>20</v>
      </c>
      <c r="D4">
        <v>1454</v>
      </c>
      <c r="F4">
        <v>1449</v>
      </c>
      <c r="G4" t="s">
        <v>21</v>
      </c>
      <c r="H4" s="6" t="s">
        <v>17</v>
      </c>
      <c r="I4">
        <f t="shared" si="0"/>
        <v>5</v>
      </c>
      <c r="J4">
        <f t="shared" si="1"/>
        <v>2.5</v>
      </c>
      <c r="K4">
        <f t="shared" si="2"/>
        <v>2.5</v>
      </c>
      <c r="N4" s="8" t="s">
        <v>22</v>
      </c>
      <c r="O4" s="9">
        <f>SUMIFS(I3:I18, H3:H18, "&lt;&gt;Non-Card")</f>
        <v>7497.56</v>
      </c>
    </row>
    <row r="5" spans="1:15" x14ac:dyDescent="0.3">
      <c r="A5" t="s">
        <v>19</v>
      </c>
      <c r="B5" t="s">
        <v>23</v>
      </c>
      <c r="D5">
        <v>1504</v>
      </c>
      <c r="G5" t="s">
        <v>21</v>
      </c>
      <c r="H5" s="6" t="s">
        <v>17</v>
      </c>
      <c r="I5">
        <f t="shared" si="0"/>
        <v>1504</v>
      </c>
      <c r="J5">
        <f t="shared" si="1"/>
        <v>752</v>
      </c>
      <c r="K5">
        <f t="shared" si="2"/>
        <v>752</v>
      </c>
      <c r="N5" s="8" t="s">
        <v>24</v>
      </c>
      <c r="O5" s="9">
        <f>SUMIFS(D3:D18, H3:H18, "&lt;&gt;Non-Card")</f>
        <v>8992.35</v>
      </c>
    </row>
    <row r="6" spans="1:15" x14ac:dyDescent="0.3">
      <c r="A6" t="s">
        <v>14</v>
      </c>
      <c r="B6" t="s">
        <v>25</v>
      </c>
      <c r="C6">
        <v>458</v>
      </c>
      <c r="D6">
        <v>463.4</v>
      </c>
      <c r="E6">
        <v>4.58</v>
      </c>
      <c r="G6" t="s">
        <v>26</v>
      </c>
      <c r="H6" s="6" t="s">
        <v>17</v>
      </c>
      <c r="I6">
        <f t="shared" si="0"/>
        <v>458.82</v>
      </c>
      <c r="J6">
        <f t="shared" si="1"/>
        <v>0</v>
      </c>
      <c r="K6">
        <f t="shared" si="2"/>
        <v>458.82</v>
      </c>
      <c r="N6" s="8" t="s">
        <v>6</v>
      </c>
      <c r="O6" s="9">
        <f>SUMIFS(E3:E18, H3:H18, "&lt;&gt;Non-Card")</f>
        <v>45.789999999999992</v>
      </c>
    </row>
    <row r="7" spans="1:15" x14ac:dyDescent="0.3">
      <c r="A7" t="s">
        <v>27</v>
      </c>
      <c r="B7" t="s">
        <v>28</v>
      </c>
      <c r="C7">
        <v>458.28</v>
      </c>
      <c r="D7">
        <v>462.86</v>
      </c>
      <c r="E7">
        <v>4.58</v>
      </c>
      <c r="G7" t="s">
        <v>26</v>
      </c>
      <c r="H7" s="6" t="s">
        <v>17</v>
      </c>
      <c r="I7">
        <f t="shared" si="0"/>
        <v>458.28000000000003</v>
      </c>
      <c r="J7">
        <f t="shared" si="1"/>
        <v>0</v>
      </c>
      <c r="K7">
        <f t="shared" si="2"/>
        <v>458.28000000000003</v>
      </c>
      <c r="N7" s="8" t="s">
        <v>29</v>
      </c>
      <c r="O7" s="9">
        <f>SUMIFS(F3:F18, H3:H18, "&lt;&gt;Non-Card")</f>
        <v>1449</v>
      </c>
    </row>
    <row r="8" spans="1:15" x14ac:dyDescent="0.3">
      <c r="A8" t="s">
        <v>27</v>
      </c>
      <c r="B8" t="s">
        <v>25</v>
      </c>
      <c r="C8">
        <v>343</v>
      </c>
      <c r="D8">
        <v>347.04</v>
      </c>
      <c r="E8">
        <v>3.43</v>
      </c>
      <c r="G8" t="s">
        <v>16</v>
      </c>
      <c r="H8" s="6" t="s">
        <v>17</v>
      </c>
      <c r="I8">
        <f t="shared" si="0"/>
        <v>343.61</v>
      </c>
      <c r="J8">
        <f t="shared" si="1"/>
        <v>343.61</v>
      </c>
      <c r="K8">
        <f t="shared" si="2"/>
        <v>0</v>
      </c>
      <c r="N8" s="8" t="s">
        <v>30</v>
      </c>
      <c r="O8" s="9">
        <f>SUMIFS(J3:J18, H3:H18, "&lt;&gt;Non-Card")</f>
        <v>3282.5699999999997</v>
      </c>
    </row>
    <row r="9" spans="1:15" x14ac:dyDescent="0.3">
      <c r="A9" t="s">
        <v>31</v>
      </c>
      <c r="B9" t="s">
        <v>32</v>
      </c>
      <c r="C9">
        <v>515.57000000000005</v>
      </c>
      <c r="D9">
        <v>521.65</v>
      </c>
      <c r="E9">
        <v>5.15</v>
      </c>
      <c r="G9" t="s">
        <v>26</v>
      </c>
      <c r="H9" s="6" t="s">
        <v>17</v>
      </c>
      <c r="I9">
        <f t="shared" si="0"/>
        <v>516.5</v>
      </c>
      <c r="J9">
        <f t="shared" si="1"/>
        <v>0</v>
      </c>
      <c r="K9">
        <f t="shared" si="2"/>
        <v>516.5</v>
      </c>
      <c r="N9" s="8" t="s">
        <v>33</v>
      </c>
      <c r="O9" s="9">
        <f>SUMIFS(K3:K18, H3:H18, "&lt;&gt;Non-Card")</f>
        <v>4214.99</v>
      </c>
    </row>
    <row r="10" spans="1:15" x14ac:dyDescent="0.3">
      <c r="A10" t="s">
        <v>34</v>
      </c>
      <c r="B10" t="s">
        <v>25</v>
      </c>
      <c r="C10">
        <v>343.71</v>
      </c>
      <c r="D10">
        <v>347.76</v>
      </c>
      <c r="E10">
        <v>3.43</v>
      </c>
      <c r="G10" t="s">
        <v>16</v>
      </c>
      <c r="H10" s="6" t="s">
        <v>17</v>
      </c>
      <c r="I10">
        <f t="shared" si="0"/>
        <v>344.33</v>
      </c>
      <c r="J10">
        <f t="shared" si="1"/>
        <v>344.33</v>
      </c>
      <c r="K10">
        <f t="shared" si="2"/>
        <v>0</v>
      </c>
    </row>
    <row r="11" spans="1:15" x14ac:dyDescent="0.3">
      <c r="A11" t="s">
        <v>35</v>
      </c>
      <c r="B11" t="s">
        <v>36</v>
      </c>
      <c r="C11">
        <v>458.28</v>
      </c>
      <c r="D11">
        <v>463.68</v>
      </c>
      <c r="E11">
        <v>4.58</v>
      </c>
      <c r="G11" t="s">
        <v>26</v>
      </c>
      <c r="H11" s="6" t="s">
        <v>17</v>
      </c>
      <c r="I11">
        <f t="shared" si="0"/>
        <v>459.1</v>
      </c>
      <c r="J11">
        <f t="shared" si="1"/>
        <v>0</v>
      </c>
      <c r="K11">
        <f t="shared" si="2"/>
        <v>459.1</v>
      </c>
      <c r="N11" s="8" t="s">
        <v>37</v>
      </c>
    </row>
    <row r="12" spans="1:15" x14ac:dyDescent="0.3">
      <c r="A12" t="s">
        <v>38</v>
      </c>
      <c r="B12" t="s">
        <v>28</v>
      </c>
      <c r="C12">
        <v>515.55999999999995</v>
      </c>
      <c r="D12">
        <v>520.72</v>
      </c>
      <c r="E12">
        <v>5.15</v>
      </c>
      <c r="G12" t="s">
        <v>26</v>
      </c>
      <c r="H12" s="6" t="s">
        <v>17</v>
      </c>
      <c r="I12">
        <f t="shared" si="0"/>
        <v>515.57000000000005</v>
      </c>
      <c r="J12">
        <f t="shared" si="1"/>
        <v>0</v>
      </c>
      <c r="K12">
        <f t="shared" si="2"/>
        <v>515.57000000000005</v>
      </c>
      <c r="N12" s="8" t="s">
        <v>39</v>
      </c>
      <c r="O12" s="9">
        <f>SUMIF(H3:H18, "Non-Card", I3:I18)</f>
        <v>1000</v>
      </c>
    </row>
    <row r="13" spans="1:15" x14ac:dyDescent="0.3">
      <c r="A13" t="s">
        <v>40</v>
      </c>
      <c r="B13" t="s">
        <v>41</v>
      </c>
      <c r="C13">
        <v>344</v>
      </c>
      <c r="D13">
        <v>348.05</v>
      </c>
      <c r="E13">
        <v>3.44</v>
      </c>
      <c r="G13" t="s">
        <v>16</v>
      </c>
      <c r="H13" s="6" t="s">
        <v>17</v>
      </c>
      <c r="I13">
        <f t="shared" si="0"/>
        <v>344.61</v>
      </c>
      <c r="J13">
        <f t="shared" si="1"/>
        <v>344.61</v>
      </c>
      <c r="K13">
        <f t="shared" si="2"/>
        <v>0</v>
      </c>
      <c r="N13" s="8" t="s">
        <v>42</v>
      </c>
      <c r="O13" s="9">
        <f>SUMIF(H3:H18, "Non-Card", J3:J18)</f>
        <v>500</v>
      </c>
    </row>
    <row r="14" spans="1:15" x14ac:dyDescent="0.3">
      <c r="A14" t="s">
        <v>43</v>
      </c>
      <c r="B14" t="s">
        <v>25</v>
      </c>
      <c r="C14">
        <v>343.71</v>
      </c>
      <c r="D14">
        <v>347.76</v>
      </c>
      <c r="E14">
        <v>0</v>
      </c>
      <c r="G14" t="s">
        <v>16</v>
      </c>
      <c r="H14" s="6" t="s">
        <v>17</v>
      </c>
      <c r="I14">
        <f t="shared" si="0"/>
        <v>347.76</v>
      </c>
      <c r="J14">
        <f t="shared" si="1"/>
        <v>347.76</v>
      </c>
      <c r="K14">
        <f t="shared" si="2"/>
        <v>0</v>
      </c>
      <c r="N14" s="8" t="s">
        <v>44</v>
      </c>
      <c r="O14" s="9">
        <f>SUMIF(H3:H18, "Non-Card", K3:K18)</f>
        <v>500</v>
      </c>
    </row>
    <row r="15" spans="1:15" x14ac:dyDescent="0.3">
      <c r="A15" t="s">
        <v>43</v>
      </c>
      <c r="B15" t="s">
        <v>41</v>
      </c>
      <c r="C15">
        <v>458</v>
      </c>
      <c r="D15">
        <v>463.4</v>
      </c>
      <c r="E15">
        <v>0</v>
      </c>
      <c r="G15" t="s">
        <v>26</v>
      </c>
      <c r="H15" s="6" t="s">
        <v>17</v>
      </c>
      <c r="I15">
        <f t="shared" si="0"/>
        <v>463.4</v>
      </c>
      <c r="J15">
        <f t="shared" si="1"/>
        <v>0</v>
      </c>
      <c r="K15">
        <f t="shared" si="2"/>
        <v>463.4</v>
      </c>
    </row>
    <row r="16" spans="1:15" ht="28.8" customHeight="1" x14ac:dyDescent="0.3">
      <c r="A16" s="3">
        <v>46227</v>
      </c>
      <c r="B16" s="4" t="s">
        <v>45</v>
      </c>
      <c r="D16">
        <v>588.82000000000005</v>
      </c>
      <c r="E16">
        <v>0</v>
      </c>
      <c r="G16" t="s">
        <v>26</v>
      </c>
      <c r="H16" s="6" t="s">
        <v>17</v>
      </c>
      <c r="I16">
        <f t="shared" si="0"/>
        <v>588.82000000000005</v>
      </c>
      <c r="J16">
        <f t="shared" si="1"/>
        <v>0</v>
      </c>
      <c r="K16">
        <f t="shared" si="2"/>
        <v>588.82000000000005</v>
      </c>
      <c r="N16" s="8" t="s">
        <v>46</v>
      </c>
    </row>
    <row r="17" spans="1:15" x14ac:dyDescent="0.3">
      <c r="A17" s="3">
        <v>46218</v>
      </c>
      <c r="B17" t="s">
        <v>47</v>
      </c>
      <c r="C17">
        <v>1000</v>
      </c>
      <c r="G17" t="s">
        <v>21</v>
      </c>
      <c r="H17" t="s">
        <v>48</v>
      </c>
      <c r="I17">
        <f t="shared" si="0"/>
        <v>1000</v>
      </c>
      <c r="J17">
        <f t="shared" si="1"/>
        <v>500</v>
      </c>
      <c r="K17">
        <f t="shared" si="2"/>
        <v>500</v>
      </c>
      <c r="N17" s="8" t="s">
        <v>49</v>
      </c>
      <c r="O17" s="9">
        <f>O8+O13</f>
        <v>3782.5699999999997</v>
      </c>
    </row>
    <row r="18" spans="1:15" x14ac:dyDescent="0.3">
      <c r="K18">
        <f t="shared" si="2"/>
        <v>0</v>
      </c>
      <c r="N18" s="8" t="s">
        <v>50</v>
      </c>
      <c r="O18" s="9">
        <v>10000</v>
      </c>
    </row>
    <row r="19" spans="1:15" x14ac:dyDescent="0.3">
      <c r="N19" s="8" t="s">
        <v>51</v>
      </c>
      <c r="O19" s="10">
        <f>O17-O18</f>
        <v>-6217.43</v>
      </c>
    </row>
    <row r="21" spans="1:15" x14ac:dyDescent="0.3">
      <c r="N21" s="8" t="s">
        <v>52</v>
      </c>
      <c r="O21" s="9">
        <f>O9+O14</f>
        <v>4714.99</v>
      </c>
    </row>
    <row r="22" spans="1:15" x14ac:dyDescent="0.3">
      <c r="N22" s="8" t="s">
        <v>53</v>
      </c>
      <c r="O22" s="9">
        <v>4714.99</v>
      </c>
    </row>
    <row r="23" spans="1:15" x14ac:dyDescent="0.3">
      <c r="N23" s="8" t="s">
        <v>54</v>
      </c>
      <c r="O23" s="10">
        <f>O21-O22</f>
        <v>0</v>
      </c>
    </row>
  </sheetData>
  <dataValidations count="2">
    <dataValidation type="list" allowBlank="1" sqref="G3:G18" xr:uid="{00000000-0002-0000-0000-000000000000}">
      <formula1>"Kitkat,Rashu,Both"</formula1>
    </dataValidation>
    <dataValidation type="list" allowBlank="1" sqref="H3:H18" xr:uid="{00000000-0002-0000-0000-000001000000}">
      <formula1>"Card,Non-Card"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O38"/>
  <sheetViews>
    <sheetView tabSelected="1" zoomScale="114" workbookViewId="0">
      <selection activeCell="O19" sqref="O19"/>
    </sheetView>
  </sheetViews>
  <sheetFormatPr defaultRowHeight="14.4" x14ac:dyDescent="0.3"/>
  <cols>
    <col min="1" max="1" width="15.21875" customWidth="1"/>
    <col min="2" max="2" width="25.109375" bestFit="1" customWidth="1"/>
    <col min="3" max="3" width="11.33203125" bestFit="1" customWidth="1"/>
    <col min="4" max="4" width="17.33203125" bestFit="1" customWidth="1"/>
    <col min="8" max="8" width="11.5546875" customWidth="1"/>
    <col min="12" max="12" width="7.44140625" customWidth="1"/>
    <col min="14" max="14" width="28" customWidth="1"/>
    <col min="15" max="15" width="16" customWidth="1"/>
  </cols>
  <sheetData>
    <row r="1" spans="1:15" ht="21" customHeight="1" x14ac:dyDescent="0.4">
      <c r="A1" s="1" t="s">
        <v>0</v>
      </c>
      <c r="N1" s="7" t="s">
        <v>1</v>
      </c>
    </row>
    <row r="2" spans="1:15" x14ac:dyDescent="0.3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5" t="s">
        <v>9</v>
      </c>
      <c r="I2" s="2" t="s">
        <v>10</v>
      </c>
      <c r="J2" s="2" t="s">
        <v>11</v>
      </c>
      <c r="K2" s="2" t="s">
        <v>12</v>
      </c>
      <c r="L2" s="2" t="s">
        <v>13</v>
      </c>
    </row>
    <row r="3" spans="1:15" x14ac:dyDescent="0.3">
      <c r="A3" s="14">
        <v>46227</v>
      </c>
      <c r="B3" s="12" t="s">
        <v>25</v>
      </c>
      <c r="C3">
        <v>458</v>
      </c>
      <c r="D3" s="11">
        <v>463.4</v>
      </c>
      <c r="E3">
        <v>1.58</v>
      </c>
      <c r="G3" t="s">
        <v>26</v>
      </c>
      <c r="H3" s="6" t="s">
        <v>17</v>
      </c>
      <c r="I3">
        <f>IF(D3&gt;0,D3-F3-E3,IF(C3&gt;0,C3-F3-E3,0))</f>
        <v>461.82</v>
      </c>
      <c r="J3">
        <f t="shared" ref="J3:J38" si="0">IF(G3="Kitkat",I3,IF(G3="Both",I3/2,0))</f>
        <v>0</v>
      </c>
      <c r="K3">
        <f t="shared" ref="K3:K38" si="1">IF(G3="Rashu",I3,IF(G3="Both",I3/2,0))</f>
        <v>461.82</v>
      </c>
      <c r="N3" s="8" t="s">
        <v>18</v>
      </c>
    </row>
    <row r="4" spans="1:15" x14ac:dyDescent="0.3">
      <c r="A4" s="13" t="s">
        <v>63</v>
      </c>
      <c r="B4" s="12" t="s">
        <v>25</v>
      </c>
      <c r="C4">
        <v>1145.7</v>
      </c>
      <c r="D4" s="11">
        <v>1159.21</v>
      </c>
      <c r="E4">
        <v>11.45</v>
      </c>
      <c r="F4">
        <v>1000</v>
      </c>
      <c r="G4" t="s">
        <v>16</v>
      </c>
      <c r="H4" s="6" t="s">
        <v>17</v>
      </c>
      <c r="I4">
        <f t="shared" ref="I4:I38" si="2">IF(D4&gt;0,D4-F4-E4,IF(C4&gt;0,C4-F4-E4,0))</f>
        <v>147.76000000000005</v>
      </c>
      <c r="J4">
        <f t="shared" si="0"/>
        <v>147.76000000000005</v>
      </c>
      <c r="K4">
        <f t="shared" si="1"/>
        <v>0</v>
      </c>
      <c r="N4" s="8" t="s">
        <v>22</v>
      </c>
      <c r="O4" s="9">
        <f>SUMIFS(I3:I37, H3:H37, "&lt;&gt;Non-Card")</f>
        <v>32691.679999999997</v>
      </c>
    </row>
    <row r="5" spans="1:15" x14ac:dyDescent="0.3">
      <c r="A5" s="13" t="s">
        <v>62</v>
      </c>
      <c r="B5" s="12" t="s">
        <v>41</v>
      </c>
      <c r="C5">
        <v>344</v>
      </c>
      <c r="D5" s="11">
        <v>348.05</v>
      </c>
      <c r="E5">
        <v>3.44</v>
      </c>
      <c r="G5" t="s">
        <v>21</v>
      </c>
      <c r="H5" s="6" t="s">
        <v>17</v>
      </c>
      <c r="I5">
        <f t="shared" si="2"/>
        <v>344.61</v>
      </c>
      <c r="J5">
        <f t="shared" si="0"/>
        <v>172.30500000000001</v>
      </c>
      <c r="K5">
        <f t="shared" si="1"/>
        <v>172.30500000000001</v>
      </c>
      <c r="N5" s="8" t="s">
        <v>24</v>
      </c>
      <c r="O5" s="9">
        <f>SUMIFS(D3:D38, H3:H38, "&lt;&gt;Non-Card")</f>
        <v>33764.199999999997</v>
      </c>
    </row>
    <row r="6" spans="1:15" x14ac:dyDescent="0.3">
      <c r="A6" s="13" t="s">
        <v>62</v>
      </c>
      <c r="B6" s="12" t="s">
        <v>61</v>
      </c>
      <c r="C6">
        <v>579.61</v>
      </c>
      <c r="D6" s="11">
        <v>579.61</v>
      </c>
      <c r="E6">
        <v>0</v>
      </c>
      <c r="G6" t="s">
        <v>16</v>
      </c>
      <c r="H6" s="6" t="s">
        <v>17</v>
      </c>
      <c r="I6">
        <f t="shared" si="2"/>
        <v>579.61</v>
      </c>
      <c r="J6">
        <f t="shared" si="0"/>
        <v>579.61</v>
      </c>
      <c r="K6">
        <f t="shared" si="1"/>
        <v>0</v>
      </c>
      <c r="N6" s="8" t="s">
        <v>6</v>
      </c>
      <c r="O6" s="9">
        <f>SUMIFS(E3:E38, H3:H38, "&lt;&gt;Non-Card")</f>
        <v>72.52</v>
      </c>
    </row>
    <row r="7" spans="1:15" x14ac:dyDescent="0.3">
      <c r="A7" s="13" t="s">
        <v>60</v>
      </c>
      <c r="B7" s="12" t="s">
        <v>25</v>
      </c>
      <c r="C7">
        <v>1145.7</v>
      </c>
      <c r="D7" s="11">
        <v>1159.21</v>
      </c>
      <c r="E7">
        <v>11.45</v>
      </c>
      <c r="G7" t="s">
        <v>16</v>
      </c>
      <c r="H7" s="6" t="s">
        <v>17</v>
      </c>
      <c r="I7">
        <f t="shared" si="2"/>
        <v>1147.76</v>
      </c>
      <c r="J7">
        <f t="shared" si="0"/>
        <v>1147.76</v>
      </c>
      <c r="K7">
        <f t="shared" si="1"/>
        <v>0</v>
      </c>
      <c r="N7" s="8" t="s">
        <v>29</v>
      </c>
      <c r="O7" s="9">
        <f>SUMIFS(F3:F38, H3:H38, "&lt;&gt;Non-Card")</f>
        <v>1000</v>
      </c>
    </row>
    <row r="8" spans="1:15" x14ac:dyDescent="0.3">
      <c r="A8" s="13" t="s">
        <v>60</v>
      </c>
      <c r="B8" s="12" t="s">
        <v>25</v>
      </c>
      <c r="C8">
        <v>401</v>
      </c>
      <c r="D8" s="11">
        <v>405.73</v>
      </c>
      <c r="E8">
        <v>4.01</v>
      </c>
      <c r="G8" t="s">
        <v>26</v>
      </c>
      <c r="H8" s="6" t="s">
        <v>17</v>
      </c>
      <c r="I8">
        <f t="shared" si="2"/>
        <v>401.72</v>
      </c>
      <c r="J8">
        <f t="shared" si="0"/>
        <v>0</v>
      </c>
      <c r="K8">
        <f t="shared" si="1"/>
        <v>401.72</v>
      </c>
      <c r="N8" s="8" t="s">
        <v>30</v>
      </c>
      <c r="O8" s="9">
        <f>SUMIFS(J3:J38, H3:H38, "&lt;&gt;Non-Card")</f>
        <v>16484.254999999997</v>
      </c>
    </row>
    <row r="9" spans="1:15" x14ac:dyDescent="0.3">
      <c r="A9" s="13" t="s">
        <v>59</v>
      </c>
      <c r="B9" s="12" t="s">
        <v>58</v>
      </c>
      <c r="C9">
        <v>114.57</v>
      </c>
      <c r="D9" s="11">
        <v>115.92</v>
      </c>
      <c r="E9">
        <v>1.1399999999999999</v>
      </c>
      <c r="G9" t="s">
        <v>26</v>
      </c>
      <c r="H9" s="6" t="s">
        <v>17</v>
      </c>
      <c r="I9">
        <f t="shared" si="2"/>
        <v>114.78</v>
      </c>
      <c r="J9">
        <f t="shared" si="0"/>
        <v>0</v>
      </c>
      <c r="K9">
        <f t="shared" si="1"/>
        <v>114.78</v>
      </c>
      <c r="N9" s="8" t="s">
        <v>33</v>
      </c>
      <c r="O9" s="9">
        <f>SUMIFS(K3:K38, H3:H38, "&lt;&gt;Non-Card")</f>
        <v>16207.424999999999</v>
      </c>
    </row>
    <row r="10" spans="1:15" x14ac:dyDescent="0.3">
      <c r="A10" s="13" t="s">
        <v>57</v>
      </c>
      <c r="B10" s="12" t="s">
        <v>56</v>
      </c>
      <c r="C10">
        <v>1141</v>
      </c>
      <c r="D10" s="11">
        <v>1152.4100000000001</v>
      </c>
      <c r="E10">
        <v>11.41</v>
      </c>
      <c r="G10" t="s">
        <v>16</v>
      </c>
      <c r="H10" s="6" t="s">
        <v>17</v>
      </c>
      <c r="I10">
        <f t="shared" si="2"/>
        <v>1141</v>
      </c>
      <c r="J10">
        <f t="shared" si="0"/>
        <v>1141</v>
      </c>
      <c r="K10">
        <f t="shared" si="1"/>
        <v>0</v>
      </c>
    </row>
    <row r="11" spans="1:15" x14ac:dyDescent="0.3">
      <c r="A11" s="13" t="s">
        <v>55</v>
      </c>
      <c r="B11" s="12" t="s">
        <v>36</v>
      </c>
      <c r="C11">
        <v>515.57000000000005</v>
      </c>
      <c r="D11" s="11">
        <v>521.65</v>
      </c>
      <c r="E11">
        <v>5.15</v>
      </c>
      <c r="G11" t="s">
        <v>26</v>
      </c>
      <c r="H11" s="6" t="s">
        <v>17</v>
      </c>
      <c r="I11">
        <f t="shared" si="2"/>
        <v>516.5</v>
      </c>
      <c r="J11">
        <f t="shared" si="0"/>
        <v>0</v>
      </c>
      <c r="K11">
        <f t="shared" si="1"/>
        <v>516.5</v>
      </c>
      <c r="N11" s="8" t="s">
        <v>37</v>
      </c>
    </row>
    <row r="12" spans="1:15" x14ac:dyDescent="0.3">
      <c r="A12" s="13" t="s">
        <v>55</v>
      </c>
      <c r="B12" s="12" t="s">
        <v>25</v>
      </c>
      <c r="C12">
        <v>343.71</v>
      </c>
      <c r="D12" s="11">
        <v>347.76</v>
      </c>
      <c r="E12">
        <v>3.43</v>
      </c>
      <c r="G12" t="s">
        <v>16</v>
      </c>
      <c r="H12" s="6" t="s">
        <v>17</v>
      </c>
      <c r="I12">
        <f t="shared" si="2"/>
        <v>344.33</v>
      </c>
      <c r="J12">
        <f t="shared" si="0"/>
        <v>344.33</v>
      </c>
      <c r="K12">
        <f t="shared" si="1"/>
        <v>0</v>
      </c>
      <c r="N12" s="8" t="s">
        <v>39</v>
      </c>
      <c r="O12" s="9">
        <f>SUMIF(H3:H38, "Non-Card", I3:I38)</f>
        <v>1000</v>
      </c>
    </row>
    <row r="13" spans="1:15" x14ac:dyDescent="0.3">
      <c r="A13" s="13" t="s">
        <v>75</v>
      </c>
      <c r="B13" s="12" t="s">
        <v>36</v>
      </c>
      <c r="C13">
        <v>458.28</v>
      </c>
      <c r="D13" s="11">
        <v>463.68</v>
      </c>
      <c r="E13">
        <v>4.58</v>
      </c>
      <c r="G13" t="s">
        <v>26</v>
      </c>
      <c r="H13" s="6" t="s">
        <v>17</v>
      </c>
      <c r="I13">
        <f t="shared" si="2"/>
        <v>459.1</v>
      </c>
      <c r="J13">
        <f t="shared" si="0"/>
        <v>0</v>
      </c>
      <c r="K13">
        <f t="shared" si="1"/>
        <v>459.1</v>
      </c>
      <c r="N13" s="8" t="s">
        <v>42</v>
      </c>
      <c r="O13" s="9">
        <f>SUMIF(H3:H38, "Non-Card", J3:J38)</f>
        <v>0</v>
      </c>
    </row>
    <row r="14" spans="1:15" x14ac:dyDescent="0.3">
      <c r="A14" s="13" t="s">
        <v>75</v>
      </c>
      <c r="B14" s="12" t="s">
        <v>25</v>
      </c>
      <c r="C14">
        <v>343.71</v>
      </c>
      <c r="D14" s="11">
        <v>347.76</v>
      </c>
      <c r="E14">
        <v>3.43</v>
      </c>
      <c r="G14" t="s">
        <v>16</v>
      </c>
      <c r="H14" s="6" t="s">
        <v>17</v>
      </c>
      <c r="I14">
        <f t="shared" si="2"/>
        <v>344.33</v>
      </c>
      <c r="J14">
        <f t="shared" si="0"/>
        <v>344.33</v>
      </c>
      <c r="K14">
        <f t="shared" si="1"/>
        <v>0</v>
      </c>
      <c r="N14" s="8" t="s">
        <v>44</v>
      </c>
      <c r="O14" s="9">
        <f>SUMIF(H3:H38, "Non-Card", K3:K38)</f>
        <v>1000</v>
      </c>
    </row>
    <row r="15" spans="1:15" x14ac:dyDescent="0.3">
      <c r="A15" s="13" t="s">
        <v>74</v>
      </c>
      <c r="B15" s="12" t="s">
        <v>25</v>
      </c>
      <c r="C15">
        <v>1145</v>
      </c>
      <c r="D15" s="11">
        <v>1158.51</v>
      </c>
      <c r="E15">
        <v>11.45</v>
      </c>
      <c r="G15" t="s">
        <v>16</v>
      </c>
      <c r="H15" s="6" t="s">
        <v>17</v>
      </c>
      <c r="I15">
        <f t="shared" si="2"/>
        <v>1147.06</v>
      </c>
      <c r="J15">
        <f t="shared" si="0"/>
        <v>1147.06</v>
      </c>
      <c r="K15">
        <f t="shared" si="1"/>
        <v>0</v>
      </c>
    </row>
    <row r="16" spans="1:15" x14ac:dyDescent="0.3">
      <c r="A16" s="13" t="s">
        <v>65</v>
      </c>
      <c r="B16" s="12" t="s">
        <v>73</v>
      </c>
      <c r="C16">
        <v>115</v>
      </c>
      <c r="D16" s="11">
        <v>115.93</v>
      </c>
      <c r="E16">
        <v>0</v>
      </c>
      <c r="G16" t="s">
        <v>26</v>
      </c>
      <c r="H16" s="6" t="s">
        <v>17</v>
      </c>
      <c r="I16">
        <f t="shared" si="2"/>
        <v>115.93</v>
      </c>
      <c r="J16">
        <f t="shared" si="0"/>
        <v>0</v>
      </c>
      <c r="K16">
        <f t="shared" si="1"/>
        <v>115.93</v>
      </c>
      <c r="N16" s="8" t="s">
        <v>46</v>
      </c>
    </row>
    <row r="17" spans="1:15" x14ac:dyDescent="0.3">
      <c r="A17" s="13" t="s">
        <v>65</v>
      </c>
      <c r="B17" s="12" t="s">
        <v>72</v>
      </c>
      <c r="C17" s="11">
        <v>4775.62</v>
      </c>
      <c r="D17" s="11">
        <v>4775.62</v>
      </c>
      <c r="E17">
        <v>0</v>
      </c>
      <c r="G17" t="s">
        <v>16</v>
      </c>
      <c r="H17" s="6" t="s">
        <v>17</v>
      </c>
      <c r="I17">
        <f t="shared" si="2"/>
        <v>4775.62</v>
      </c>
      <c r="J17">
        <f t="shared" si="0"/>
        <v>4775.62</v>
      </c>
      <c r="K17">
        <f t="shared" si="1"/>
        <v>0</v>
      </c>
      <c r="N17" s="8" t="s">
        <v>49</v>
      </c>
      <c r="O17" s="9">
        <f>O8+O13</f>
        <v>16484.254999999997</v>
      </c>
    </row>
    <row r="18" spans="1:15" x14ac:dyDescent="0.3">
      <c r="A18" s="13" t="s">
        <v>65</v>
      </c>
      <c r="B18" s="12" t="s">
        <v>71</v>
      </c>
      <c r="C18">
        <v>120</v>
      </c>
      <c r="D18" s="11">
        <v>120</v>
      </c>
      <c r="E18">
        <v>0</v>
      </c>
      <c r="G18" t="s">
        <v>26</v>
      </c>
      <c r="H18" s="6" t="s">
        <v>17</v>
      </c>
      <c r="I18">
        <f t="shared" si="2"/>
        <v>120</v>
      </c>
      <c r="J18">
        <f t="shared" si="0"/>
        <v>0</v>
      </c>
      <c r="K18">
        <f t="shared" si="1"/>
        <v>120</v>
      </c>
      <c r="N18" s="8" t="s">
        <v>50</v>
      </c>
      <c r="O18" s="9">
        <v>4567.42</v>
      </c>
    </row>
    <row r="19" spans="1:15" x14ac:dyDescent="0.3">
      <c r="A19" s="13" t="s">
        <v>65</v>
      </c>
      <c r="B19" s="12" t="s">
        <v>70</v>
      </c>
      <c r="C19">
        <v>50</v>
      </c>
      <c r="D19" s="11">
        <v>50</v>
      </c>
      <c r="E19">
        <v>0</v>
      </c>
      <c r="G19" t="s">
        <v>26</v>
      </c>
      <c r="H19" s="6" t="s">
        <v>17</v>
      </c>
      <c r="I19">
        <f t="shared" si="2"/>
        <v>50</v>
      </c>
      <c r="J19">
        <f t="shared" si="0"/>
        <v>0</v>
      </c>
      <c r="K19">
        <f t="shared" si="1"/>
        <v>50</v>
      </c>
      <c r="N19" s="8" t="s">
        <v>51</v>
      </c>
      <c r="O19" s="10">
        <f>O17-O18</f>
        <v>11916.834999999997</v>
      </c>
    </row>
    <row r="20" spans="1:15" x14ac:dyDescent="0.3">
      <c r="A20" s="13" t="s">
        <v>65</v>
      </c>
      <c r="B20" s="12" t="s">
        <v>69</v>
      </c>
      <c r="C20">
        <v>170</v>
      </c>
      <c r="D20" s="11">
        <v>170</v>
      </c>
      <c r="E20">
        <v>0</v>
      </c>
      <c r="G20" t="s">
        <v>26</v>
      </c>
      <c r="H20" s="6" t="s">
        <v>17</v>
      </c>
      <c r="I20">
        <f t="shared" si="2"/>
        <v>170</v>
      </c>
      <c r="J20">
        <f t="shared" si="0"/>
        <v>0</v>
      </c>
      <c r="K20">
        <f t="shared" si="1"/>
        <v>170</v>
      </c>
    </row>
    <row r="21" spans="1:15" x14ac:dyDescent="0.3">
      <c r="A21" s="13" t="s">
        <v>65</v>
      </c>
      <c r="B21" s="12" t="s">
        <v>68</v>
      </c>
      <c r="C21">
        <v>100</v>
      </c>
      <c r="D21" s="11">
        <v>100</v>
      </c>
      <c r="E21">
        <v>0</v>
      </c>
      <c r="G21" t="s">
        <v>26</v>
      </c>
      <c r="H21" s="6" t="s">
        <v>17</v>
      </c>
      <c r="I21">
        <f t="shared" si="2"/>
        <v>100</v>
      </c>
      <c r="J21">
        <f t="shared" si="0"/>
        <v>0</v>
      </c>
      <c r="K21">
        <f t="shared" si="1"/>
        <v>100</v>
      </c>
      <c r="N21" s="8" t="s">
        <v>52</v>
      </c>
      <c r="O21" s="9">
        <f>O9+O14</f>
        <v>17207.424999999999</v>
      </c>
    </row>
    <row r="22" spans="1:15" x14ac:dyDescent="0.3">
      <c r="A22" s="13" t="s">
        <v>65</v>
      </c>
      <c r="B22" s="12" t="s">
        <v>67</v>
      </c>
      <c r="C22">
        <v>550</v>
      </c>
      <c r="D22" s="11">
        <v>550</v>
      </c>
      <c r="E22">
        <v>0</v>
      </c>
      <c r="G22" t="s">
        <v>16</v>
      </c>
      <c r="H22" s="6" t="s">
        <v>17</v>
      </c>
      <c r="I22">
        <f t="shared" si="2"/>
        <v>550</v>
      </c>
      <c r="J22">
        <f t="shared" si="0"/>
        <v>550</v>
      </c>
      <c r="K22">
        <f t="shared" si="1"/>
        <v>0</v>
      </c>
      <c r="N22" s="8" t="s">
        <v>53</v>
      </c>
      <c r="O22" s="9"/>
    </row>
    <row r="23" spans="1:15" x14ac:dyDescent="0.3">
      <c r="A23" s="13" t="s">
        <v>65</v>
      </c>
      <c r="B23" s="12" t="s">
        <v>66</v>
      </c>
      <c r="C23">
        <v>20</v>
      </c>
      <c r="D23" s="11">
        <v>20</v>
      </c>
      <c r="E23">
        <v>0</v>
      </c>
      <c r="G23" t="s">
        <v>26</v>
      </c>
      <c r="H23" s="6" t="s">
        <v>17</v>
      </c>
      <c r="I23">
        <f t="shared" si="2"/>
        <v>20</v>
      </c>
      <c r="J23">
        <f t="shared" si="0"/>
        <v>0</v>
      </c>
      <c r="K23">
        <f t="shared" si="1"/>
        <v>20</v>
      </c>
      <c r="N23" s="8" t="s">
        <v>54</v>
      </c>
      <c r="O23" s="10">
        <f>O21-O22</f>
        <v>17207.424999999999</v>
      </c>
    </row>
    <row r="24" spans="1:15" x14ac:dyDescent="0.3">
      <c r="A24" s="13" t="s">
        <v>65</v>
      </c>
      <c r="B24" s="12" t="s">
        <v>64</v>
      </c>
      <c r="C24">
        <v>250</v>
      </c>
      <c r="D24" s="11">
        <v>250</v>
      </c>
      <c r="E24">
        <v>0</v>
      </c>
      <c r="G24" t="s">
        <v>26</v>
      </c>
      <c r="H24" s="6" t="s">
        <v>17</v>
      </c>
      <c r="I24">
        <f t="shared" si="2"/>
        <v>250</v>
      </c>
      <c r="J24">
        <f t="shared" si="0"/>
        <v>0</v>
      </c>
      <c r="K24">
        <f t="shared" si="1"/>
        <v>250</v>
      </c>
    </row>
    <row r="25" spans="1:15" x14ac:dyDescent="0.3">
      <c r="A25" s="13" t="s">
        <v>65</v>
      </c>
      <c r="B25" s="12" t="s">
        <v>87</v>
      </c>
      <c r="C25">
        <v>549</v>
      </c>
      <c r="D25" s="11">
        <v>549</v>
      </c>
      <c r="E25">
        <v>0</v>
      </c>
      <c r="G25" t="s">
        <v>26</v>
      </c>
      <c r="H25" s="6" t="s">
        <v>17</v>
      </c>
      <c r="I25">
        <f t="shared" si="2"/>
        <v>549</v>
      </c>
      <c r="J25">
        <f t="shared" si="0"/>
        <v>0</v>
      </c>
      <c r="K25">
        <f t="shared" si="1"/>
        <v>549</v>
      </c>
    </row>
    <row r="26" spans="1:15" x14ac:dyDescent="0.3">
      <c r="A26" s="13" t="s">
        <v>86</v>
      </c>
      <c r="B26" s="12" t="s">
        <v>36</v>
      </c>
      <c r="C26">
        <v>515.57000000000005</v>
      </c>
      <c r="D26" s="11">
        <v>520.73</v>
      </c>
      <c r="E26">
        <v>0</v>
      </c>
      <c r="G26" t="s">
        <v>26</v>
      </c>
      <c r="H26" s="6" t="s">
        <v>17</v>
      </c>
      <c r="I26">
        <f t="shared" si="2"/>
        <v>520.73</v>
      </c>
      <c r="J26">
        <f t="shared" si="0"/>
        <v>0</v>
      </c>
      <c r="K26">
        <f t="shared" si="1"/>
        <v>520.73</v>
      </c>
    </row>
    <row r="27" spans="1:15" x14ac:dyDescent="0.3">
      <c r="A27" s="13" t="s">
        <v>85</v>
      </c>
      <c r="B27" s="12" t="s">
        <v>25</v>
      </c>
      <c r="C27">
        <v>401</v>
      </c>
      <c r="D27" s="11">
        <v>405.01</v>
      </c>
      <c r="E27">
        <v>0</v>
      </c>
      <c r="G27" t="s">
        <v>26</v>
      </c>
      <c r="H27" s="6" t="s">
        <v>17</v>
      </c>
      <c r="I27">
        <f t="shared" si="2"/>
        <v>405.01</v>
      </c>
      <c r="J27">
        <f t="shared" si="0"/>
        <v>0</v>
      </c>
      <c r="K27">
        <f t="shared" si="1"/>
        <v>405.01</v>
      </c>
    </row>
    <row r="28" spans="1:15" x14ac:dyDescent="0.3">
      <c r="A28" s="13" t="s">
        <v>85</v>
      </c>
      <c r="B28" s="12" t="s">
        <v>28</v>
      </c>
      <c r="C28">
        <v>515.55999999999995</v>
      </c>
      <c r="D28" s="11">
        <v>520.72</v>
      </c>
      <c r="E28">
        <v>0</v>
      </c>
      <c r="G28" t="s">
        <v>26</v>
      </c>
      <c r="H28" s="6" t="s">
        <v>17</v>
      </c>
      <c r="I28">
        <f t="shared" si="2"/>
        <v>520.72</v>
      </c>
      <c r="J28">
        <f t="shared" si="0"/>
        <v>0</v>
      </c>
      <c r="K28">
        <f t="shared" si="1"/>
        <v>520.72</v>
      </c>
    </row>
    <row r="29" spans="1:15" x14ac:dyDescent="0.3">
      <c r="A29" s="13" t="s">
        <v>84</v>
      </c>
      <c r="B29" s="12" t="s">
        <v>83</v>
      </c>
      <c r="C29" s="11">
        <v>9931.9599999999991</v>
      </c>
      <c r="D29" s="11">
        <v>9931.9599999999991</v>
      </c>
      <c r="E29">
        <v>0</v>
      </c>
      <c r="G29" t="s">
        <v>26</v>
      </c>
      <c r="H29" s="6" t="s">
        <v>17</v>
      </c>
      <c r="I29">
        <f t="shared" si="2"/>
        <v>9931.9599999999991</v>
      </c>
      <c r="J29">
        <f t="shared" si="0"/>
        <v>0</v>
      </c>
      <c r="K29">
        <f t="shared" si="1"/>
        <v>9931.9599999999991</v>
      </c>
    </row>
    <row r="30" spans="1:15" x14ac:dyDescent="0.3">
      <c r="A30" s="13" t="s">
        <v>82</v>
      </c>
      <c r="B30" s="12" t="s">
        <v>25</v>
      </c>
      <c r="C30">
        <v>2291</v>
      </c>
      <c r="D30" s="11">
        <v>2318.0300000000002</v>
      </c>
      <c r="E30">
        <v>0</v>
      </c>
      <c r="G30" t="s">
        <v>16</v>
      </c>
      <c r="H30" s="6" t="s">
        <v>17</v>
      </c>
      <c r="I30">
        <f t="shared" si="2"/>
        <v>2318.0300000000002</v>
      </c>
      <c r="J30">
        <f t="shared" si="0"/>
        <v>2318.0300000000002</v>
      </c>
      <c r="K30">
        <f t="shared" si="1"/>
        <v>0</v>
      </c>
    </row>
    <row r="31" spans="1:15" x14ac:dyDescent="0.3">
      <c r="A31" s="13" t="s">
        <v>81</v>
      </c>
      <c r="B31" s="12" t="s">
        <v>25</v>
      </c>
      <c r="C31">
        <v>401</v>
      </c>
      <c r="D31" s="11">
        <v>405.01</v>
      </c>
      <c r="E31">
        <v>0</v>
      </c>
      <c r="G31" t="s">
        <v>26</v>
      </c>
      <c r="H31" s="6" t="s">
        <v>17</v>
      </c>
      <c r="I31">
        <f t="shared" si="2"/>
        <v>405.01</v>
      </c>
      <c r="J31">
        <f t="shared" si="0"/>
        <v>0</v>
      </c>
      <c r="K31">
        <f t="shared" si="1"/>
        <v>405.01</v>
      </c>
    </row>
    <row r="32" spans="1:15" x14ac:dyDescent="0.3">
      <c r="A32" s="13" t="s">
        <v>79</v>
      </c>
      <c r="B32" s="12" t="s">
        <v>80</v>
      </c>
      <c r="C32">
        <v>1145.7</v>
      </c>
      <c r="D32" s="11">
        <v>1157.1500000000001</v>
      </c>
      <c r="E32">
        <v>0</v>
      </c>
      <c r="G32" t="s">
        <v>16</v>
      </c>
      <c r="H32" s="6" t="s">
        <v>17</v>
      </c>
      <c r="I32">
        <f t="shared" si="2"/>
        <v>1157.1500000000001</v>
      </c>
      <c r="J32">
        <f t="shared" si="0"/>
        <v>1157.1500000000001</v>
      </c>
      <c r="K32">
        <f t="shared" si="1"/>
        <v>0</v>
      </c>
    </row>
    <row r="33" spans="1:11" x14ac:dyDescent="0.3">
      <c r="A33" s="13" t="s">
        <v>79</v>
      </c>
      <c r="B33" s="12" t="s">
        <v>25</v>
      </c>
      <c r="C33">
        <v>1718.55</v>
      </c>
      <c r="D33" s="11">
        <v>1735.73</v>
      </c>
      <c r="E33">
        <v>0</v>
      </c>
      <c r="G33" t="s">
        <v>16</v>
      </c>
      <c r="H33" s="6" t="s">
        <v>17</v>
      </c>
      <c r="I33">
        <f t="shared" si="2"/>
        <v>1735.73</v>
      </c>
      <c r="J33">
        <f t="shared" si="0"/>
        <v>1735.73</v>
      </c>
      <c r="K33">
        <f t="shared" si="1"/>
        <v>0</v>
      </c>
    </row>
    <row r="34" spans="1:11" x14ac:dyDescent="0.3">
      <c r="A34" s="13" t="s">
        <v>78</v>
      </c>
      <c r="B34" s="12" t="s">
        <v>25</v>
      </c>
      <c r="C34">
        <v>343.17</v>
      </c>
      <c r="D34" s="11">
        <v>347.14</v>
      </c>
      <c r="E34">
        <v>0</v>
      </c>
      <c r="G34" t="s">
        <v>16</v>
      </c>
      <c r="H34" s="6" t="s">
        <v>17</v>
      </c>
      <c r="I34">
        <f t="shared" si="2"/>
        <v>347.14</v>
      </c>
      <c r="J34">
        <f t="shared" si="0"/>
        <v>347.14</v>
      </c>
      <c r="K34">
        <f t="shared" si="1"/>
        <v>0</v>
      </c>
    </row>
    <row r="35" spans="1:11" x14ac:dyDescent="0.3">
      <c r="A35" s="13" t="s">
        <v>78</v>
      </c>
      <c r="B35" s="12" t="s">
        <v>36</v>
      </c>
      <c r="C35">
        <v>343</v>
      </c>
      <c r="D35" s="11">
        <v>346.43</v>
      </c>
      <c r="E35">
        <v>0</v>
      </c>
      <c r="G35" t="s">
        <v>26</v>
      </c>
      <c r="H35" s="6" t="s">
        <v>17</v>
      </c>
      <c r="I35">
        <f t="shared" si="2"/>
        <v>346.43</v>
      </c>
      <c r="J35">
        <f t="shared" si="0"/>
        <v>0</v>
      </c>
      <c r="K35">
        <f t="shared" si="1"/>
        <v>346.43</v>
      </c>
    </row>
    <row r="36" spans="1:11" x14ac:dyDescent="0.3">
      <c r="A36" s="13" t="s">
        <v>77</v>
      </c>
      <c r="B36" s="12" t="s">
        <v>56</v>
      </c>
      <c r="C36">
        <v>570.70000000000005</v>
      </c>
      <c r="D36" s="11">
        <v>576.42999999999995</v>
      </c>
      <c r="E36">
        <v>0</v>
      </c>
      <c r="G36" t="s">
        <v>16</v>
      </c>
      <c r="H36" s="6" t="s">
        <v>17</v>
      </c>
      <c r="I36">
        <f t="shared" si="2"/>
        <v>576.42999999999995</v>
      </c>
      <c r="J36">
        <f t="shared" si="0"/>
        <v>576.42999999999995</v>
      </c>
      <c r="K36">
        <f t="shared" si="1"/>
        <v>0</v>
      </c>
    </row>
    <row r="37" spans="1:11" x14ac:dyDescent="0.3">
      <c r="A37" s="13" t="s">
        <v>76</v>
      </c>
      <c r="B37" s="12" t="s">
        <v>56</v>
      </c>
      <c r="C37">
        <v>570.70000000000005</v>
      </c>
      <c r="D37" s="11">
        <v>576.41</v>
      </c>
      <c r="E37">
        <v>0</v>
      </c>
      <c r="G37" t="s">
        <v>26</v>
      </c>
      <c r="H37" s="6" t="s">
        <v>17</v>
      </c>
      <c r="I37">
        <f t="shared" si="2"/>
        <v>576.41</v>
      </c>
      <c r="J37">
        <f t="shared" si="0"/>
        <v>0</v>
      </c>
      <c r="K37">
        <f t="shared" si="1"/>
        <v>576.41</v>
      </c>
    </row>
    <row r="38" spans="1:11" x14ac:dyDescent="0.3">
      <c r="B38" s="15" t="s">
        <v>88</v>
      </c>
      <c r="C38">
        <v>1000</v>
      </c>
      <c r="D38" s="16">
        <v>1000</v>
      </c>
      <c r="E38">
        <v>0</v>
      </c>
      <c r="F38">
        <v>0</v>
      </c>
      <c r="G38" t="s">
        <v>26</v>
      </c>
      <c r="H38" s="6" t="s">
        <v>48</v>
      </c>
      <c r="I38">
        <f t="shared" si="2"/>
        <v>1000</v>
      </c>
      <c r="J38">
        <f t="shared" si="0"/>
        <v>0</v>
      </c>
      <c r="K38">
        <f t="shared" si="1"/>
        <v>1000</v>
      </c>
    </row>
  </sheetData>
  <dataValidations count="2">
    <dataValidation type="list" allowBlank="1" sqref="H3:H37" xr:uid="{8762F896-64E2-434F-89C2-F55315767733}">
      <formula1>"Card,Non-Card"</formula1>
    </dataValidation>
    <dataValidation type="list" allowBlank="1" sqref="G3:G25" xr:uid="{4B2E04B3-13C1-4E55-BADB-BC3D239FA93D}">
      <formula1>"Kitkat,Rashu,Both"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Card Expense Tracker july</vt:lpstr>
      <vt:lpstr>Card Expense Tracker august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Nitin Sable</cp:lastModifiedBy>
  <dcterms:created xsi:type="dcterms:W3CDTF">2026-08-01T16:10:45Z</dcterms:created>
  <dcterms:modified xsi:type="dcterms:W3CDTF">2026-08-26T17:45:43Z</dcterms:modified>
</cp:coreProperties>
</file>